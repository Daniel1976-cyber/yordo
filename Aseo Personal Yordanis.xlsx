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Yunior\Desktop\yordo\"/>
    </mc:Choice>
  </mc:AlternateContent>
  <bookViews>
    <workbookView xWindow="-105" yWindow="-105" windowWidth="23250" windowHeight="12450" activeTab="1"/>
  </bookViews>
  <sheets>
    <sheet name="Inventario" sheetId="1" r:id="rId1"/>
    <sheet name="resumen" sheetId="3" r:id="rId2"/>
    <sheet name="Ventas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F16" i="3"/>
  <c r="G15" i="3"/>
  <c r="G24" i="3" s="1"/>
  <c r="G16" i="3"/>
  <c r="G17" i="3"/>
  <c r="G18" i="3"/>
  <c r="G19" i="3"/>
  <c r="G20" i="3"/>
  <c r="G21" i="3"/>
  <c r="G22" i="3"/>
  <c r="D15" i="3"/>
  <c r="C28" i="3" s="1"/>
  <c r="D28" i="3" s="1"/>
  <c r="D16" i="3"/>
  <c r="C29" i="3" s="1"/>
  <c r="D29" i="3" s="1"/>
  <c r="D17" i="3"/>
  <c r="C30" i="3" s="1"/>
  <c r="D30" i="3" s="1"/>
  <c r="D18" i="3"/>
  <c r="C31" i="3" s="1"/>
  <c r="D31" i="3" s="1"/>
  <c r="D19" i="3"/>
  <c r="C32" i="3" s="1"/>
  <c r="D32" i="3" s="1"/>
  <c r="D20" i="3"/>
  <c r="C33" i="3" s="1"/>
  <c r="D33" i="3" s="1"/>
  <c r="D21" i="3"/>
  <c r="C34" i="3" s="1"/>
  <c r="D34" i="3" s="1"/>
  <c r="D22" i="3"/>
  <c r="C35" i="3" s="1"/>
  <c r="D35" i="3" s="1"/>
  <c r="G2" i="3"/>
  <c r="H15" i="3" s="1"/>
  <c r="H24" i="3" s="1"/>
  <c r="G3" i="3"/>
  <c r="H16" i="3" s="1"/>
  <c r="G4" i="3"/>
  <c r="H17" i="3" s="1"/>
  <c r="G5" i="3"/>
  <c r="H18" i="3" s="1"/>
  <c r="G6" i="3"/>
  <c r="H19" i="3" s="1"/>
  <c r="G7" i="3"/>
  <c r="H20" i="3" s="1"/>
  <c r="G8" i="3"/>
  <c r="H21" i="3" s="1"/>
  <c r="G9" i="3"/>
  <c r="H22" i="3" s="1"/>
  <c r="M2" i="3"/>
  <c r="M3" i="3"/>
  <c r="M4" i="3"/>
  <c r="M5" i="3"/>
  <c r="M6" i="3"/>
  <c r="M7" i="3"/>
  <c r="M8" i="3"/>
  <c r="M9" i="3"/>
  <c r="E3" i="3"/>
  <c r="E4" i="3"/>
  <c r="E5" i="3"/>
  <c r="E6" i="3"/>
  <c r="E7" i="3"/>
  <c r="E8" i="3"/>
  <c r="E9" i="3"/>
  <c r="E2" i="3"/>
  <c r="Q11" i="3"/>
  <c r="R9" i="3"/>
  <c r="Q9" i="3"/>
  <c r="N9" i="3"/>
  <c r="R8" i="3"/>
  <c r="Q8" i="3"/>
  <c r="N8" i="3"/>
  <c r="R7" i="3"/>
  <c r="Q7" i="3"/>
  <c r="N7" i="3"/>
  <c r="R6" i="3"/>
  <c r="Q6" i="3"/>
  <c r="N6" i="3"/>
  <c r="R5" i="3"/>
  <c r="Q5" i="3"/>
  <c r="N5" i="3"/>
  <c r="R4" i="3"/>
  <c r="Q4" i="3"/>
  <c r="N4" i="3"/>
  <c r="R3" i="3"/>
  <c r="Q3" i="3"/>
  <c r="N3" i="3"/>
  <c r="R2" i="3"/>
  <c r="Q2" i="3"/>
  <c r="N2" i="3"/>
  <c r="F17" i="3" l="1"/>
  <c r="F18" i="3"/>
  <c r="D36" i="3"/>
  <c r="E10" i="3"/>
  <c r="M10" i="3"/>
  <c r="N10" i="3"/>
  <c r="I38" i="2"/>
  <c r="E37" i="2"/>
  <c r="E36" i="2"/>
  <c r="E35" i="2"/>
  <c r="E29" i="2"/>
  <c r="L4" i="2"/>
  <c r="K4" i="2"/>
  <c r="F10" i="1"/>
  <c r="K4" i="1"/>
  <c r="J4" i="1"/>
  <c r="G4" i="1"/>
  <c r="F4" i="1"/>
  <c r="K3" i="1"/>
  <c r="J3" i="1"/>
  <c r="G3" i="1"/>
  <c r="F3" i="1"/>
  <c r="E28" i="2"/>
  <c r="E27" i="2"/>
  <c r="I32" i="2" s="1"/>
  <c r="E30" i="2"/>
  <c r="E31" i="2"/>
  <c r="E33" i="2"/>
  <c r="E34" i="2"/>
  <c r="G6" i="1"/>
  <c r="G7" i="1"/>
  <c r="G8" i="1"/>
  <c r="G9" i="1"/>
  <c r="G2" i="1"/>
  <c r="G5" i="1"/>
  <c r="E24" i="2"/>
  <c r="E25" i="2"/>
  <c r="I23" i="2"/>
  <c r="E22" i="2"/>
  <c r="E20" i="2"/>
  <c r="E21" i="2"/>
  <c r="E18" i="2"/>
  <c r="E17" i="2"/>
  <c r="E16" i="2"/>
  <c r="E13" i="2"/>
  <c r="E14" i="2"/>
  <c r="E15" i="2"/>
  <c r="J9" i="1"/>
  <c r="K9" i="1"/>
  <c r="F9" i="1"/>
  <c r="J8" i="1"/>
  <c r="K8" i="1"/>
  <c r="F8" i="1"/>
  <c r="I5" i="2"/>
  <c r="E11" i="2"/>
  <c r="E10" i="2"/>
  <c r="E8" i="2"/>
  <c r="E9" i="2"/>
  <c r="E7" i="2"/>
  <c r="E6" i="2"/>
  <c r="E4" i="2"/>
  <c r="K5" i="1"/>
  <c r="K6" i="1"/>
  <c r="K7" i="1"/>
  <c r="K2" i="1"/>
  <c r="J11" i="1"/>
  <c r="J2" i="1"/>
  <c r="J5" i="1"/>
  <c r="J6" i="1"/>
  <c r="J7" i="1"/>
  <c r="E2" i="2"/>
  <c r="F5" i="1"/>
  <c r="F6" i="1"/>
  <c r="F7" i="1"/>
  <c r="F2" i="1"/>
  <c r="F19" i="3" l="1"/>
  <c r="F20" i="3"/>
  <c r="G10" i="1"/>
  <c r="I19" i="2"/>
  <c r="I12" i="2"/>
  <c r="M4" i="2"/>
  <c r="N4" i="2" s="1"/>
  <c r="F24" i="3" l="1"/>
  <c r="F21" i="3"/>
  <c r="F22" i="3" s="1"/>
</calcChain>
</file>

<file path=xl/sharedStrings.xml><?xml version="1.0" encoding="utf-8"?>
<sst xmlns="http://schemas.openxmlformats.org/spreadsheetml/2006/main" count="235" uniqueCount="72">
  <si>
    <t>Unidades</t>
  </si>
  <si>
    <t>Costo</t>
  </si>
  <si>
    <t>P. Venta</t>
  </si>
  <si>
    <t>Moneda</t>
  </si>
  <si>
    <t>Productos</t>
  </si>
  <si>
    <t>Detergente Liquido</t>
  </si>
  <si>
    <t>Formato</t>
  </si>
  <si>
    <t>1 Lt</t>
  </si>
  <si>
    <t>Leyenda</t>
  </si>
  <si>
    <t>CUPD</t>
  </si>
  <si>
    <t>CUP Digital</t>
  </si>
  <si>
    <t>CUP</t>
  </si>
  <si>
    <t>USDD</t>
  </si>
  <si>
    <t>USD Digital</t>
  </si>
  <si>
    <t>USD</t>
  </si>
  <si>
    <t>Importe</t>
  </si>
  <si>
    <t>Deuda</t>
  </si>
  <si>
    <t>Observaciones</t>
  </si>
  <si>
    <t>Detergente Lucy</t>
  </si>
  <si>
    <t>U</t>
  </si>
  <si>
    <t>Jabon de Lavar Jumbo</t>
  </si>
  <si>
    <t>Detergente Polvo 500g</t>
  </si>
  <si>
    <t>paq.</t>
  </si>
  <si>
    <t>Fecha</t>
  </si>
  <si>
    <t>Cantidad</t>
  </si>
  <si>
    <t>Si</t>
  </si>
  <si>
    <t>Maria</t>
  </si>
  <si>
    <t>Margen/Ganancia</t>
  </si>
  <si>
    <t>Pomo</t>
  </si>
  <si>
    <t>Ganancia Neta</t>
  </si>
  <si>
    <t>Detergente Polvo</t>
  </si>
  <si>
    <t>Yanet</t>
  </si>
  <si>
    <t>Lizbetty</t>
  </si>
  <si>
    <t xml:space="preserve">pagado llevar </t>
  </si>
  <si>
    <t>Jabon Lavar</t>
  </si>
  <si>
    <t>Licet</t>
  </si>
  <si>
    <t>para llevar</t>
  </si>
  <si>
    <t>Efectivo</t>
  </si>
  <si>
    <t>Digital</t>
  </si>
  <si>
    <t>Total</t>
  </si>
  <si>
    <t>subtotal</t>
  </si>
  <si>
    <t>Ganancia</t>
  </si>
  <si>
    <t>Cant. De dias</t>
  </si>
  <si>
    <t>Jabon de Baño</t>
  </si>
  <si>
    <t>Intimas</t>
  </si>
  <si>
    <t>Subtotal</t>
  </si>
  <si>
    <t>Compra</t>
  </si>
  <si>
    <t>Compras</t>
  </si>
  <si>
    <t>Venta de dolares</t>
  </si>
  <si>
    <t>Jorge</t>
  </si>
  <si>
    <t>Lourdes</t>
  </si>
  <si>
    <t>Jabon baño</t>
  </si>
  <si>
    <t>Esp. Andresito</t>
  </si>
  <si>
    <t>Existencia</t>
  </si>
  <si>
    <t>Monto Inv.</t>
  </si>
  <si>
    <t>Punto de equilibrio</t>
  </si>
  <si>
    <t>Lava vajilla</t>
  </si>
  <si>
    <t>Jabon de Lavar</t>
  </si>
  <si>
    <t>Inventario  inicial</t>
  </si>
  <si>
    <t>Subtotal inicial</t>
  </si>
  <si>
    <t>Inventario actual</t>
  </si>
  <si>
    <t>Mercancia vendida</t>
  </si>
  <si>
    <t>Utilidad</t>
  </si>
  <si>
    <t>Precio_vent_unitario</t>
  </si>
  <si>
    <t>Utilidad_unitaria</t>
  </si>
  <si>
    <t>Costo_unitario</t>
  </si>
  <si>
    <t>Importe_costo_inicial</t>
  </si>
  <si>
    <t>Inventario_inicial</t>
  </si>
  <si>
    <t>Importe_inventario_actual</t>
  </si>
  <si>
    <t>inventario_actual</t>
  </si>
  <si>
    <t>Importe_costo_venta</t>
  </si>
  <si>
    <t>Importe_de_Ventas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</si>
</sst>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9" fontId="0" fillId="0" borderId="0" xfId="2" applyFont="1"/>
    <xf numFmtId="164" fontId="0" fillId="0" borderId="0" xfId="1" applyFont="1"/>
    <xf numFmtId="0" fontId="0" fillId="2" borderId="0" xfId="0" applyFill="1"/>
    <xf numFmtId="164" fontId="0" fillId="0" borderId="0" xfId="0" applyNumberFormat="1"/>
    <xf numFmtId="0" fontId="0" fillId="0" borderId="0" xfId="1" applyNumberFormat="1" applyFont="1"/>
    <xf numFmtId="0" fontId="0" fillId="2" borderId="0" xfId="0" applyFont="1" applyFill="1"/>
    <xf numFmtId="43" fontId="0" fillId="0" borderId="0" xfId="0" applyNumberFormat="1"/>
    <xf numFmtId="43" fontId="0" fillId="0" borderId="0" xfId="1" applyNumberFormat="1" applyFont="1"/>
    <xf numFmtId="43" fontId="0" fillId="0" borderId="0" xfId="1" applyNumberFormat="1" applyFont="1" applyAlignment="1">
      <alignment horizontal="right"/>
    </xf>
    <xf numFmtId="43" fontId="2" fillId="0" borderId="0" xfId="1" applyNumberFormat="1" applyFont="1"/>
    <xf numFmtId="43" fontId="2" fillId="2" borderId="0" xfId="1" applyNumberFormat="1" applyFont="1" applyFill="1"/>
    <xf numFmtId="43" fontId="0" fillId="2" borderId="0" xfId="1" applyNumberFormat="1" applyFont="1" applyFill="1"/>
    <xf numFmtId="0" fontId="0" fillId="0" borderId="0" xfId="0" applyNumberFormat="1"/>
    <xf numFmtId="43" fontId="2" fillId="0" borderId="0" xfId="1" applyNumberFormat="1" applyFont="1" applyAlignment="1">
      <alignment horizontal="right"/>
    </xf>
  </cellXfs>
  <cellStyles count="3">
    <cellStyle name="Moneda" xfId="1" builtinId="4"/>
    <cellStyle name="Normal" xfId="0" builtinId="0"/>
    <cellStyle name="Porcentaje" xfId="2" builtinId="5"/>
  </cellStyles>
  <dxfs count="13">
    <dxf>
      <numFmt numFmtId="35" formatCode="_-* #,##0.00\ _€_-;\-* #,##0.00\ _€_-;_-* &quot;-&quot;??\ _€_-;_-@_-"/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\ _€_-;\-* #,##0.0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\ _€_-;\-* #,##0.00\ _€_-;_-* &quot;-&quot;??\ _€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\ _€_-;\-* #,##0.0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\ _€_-;\-* #,##0.0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\ _€_-;\-* #,##0.0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\ _€_-;\-* #,##0.0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\ _€_-;\-* #,##0.0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\ _€_-;\-* #,##0.0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\ _€_-;\-* #,##0.00\ _€_-;_-* &quot;-&quot;??\ _€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Inversion_inicial" displayName="Inversion_inicial" ref="A1:G10" totalsRowShown="0">
  <autoFilter ref="A1:G10"/>
  <tableColumns count="7">
    <tableColumn id="1" name="Productos"/>
    <tableColumn id="2" name="Formato"/>
    <tableColumn id="3" name="Inventario_inicial"/>
    <tableColumn id="4" name="Costo_unitario" dataDxfId="12" dataCellStyle="Moneda"/>
    <tableColumn id="5" name="Importe_costo_inicial" dataDxfId="11" dataCellStyle="Moneda">
      <calculatedColumnFormula>SUM(C2*D2)</calculatedColumnFormula>
    </tableColumn>
    <tableColumn id="6" name="Precio_vent_unitario" dataDxfId="10" dataCellStyle="Moneda"/>
    <tableColumn id="7" name="Utilidad_unitaria" dataDxfId="9" dataCellStyle="Moneda">
      <calculatedColumnFormula>Inversion_inicial[[#This Row],[Precio_vent_unitario]]-Inversion_inicial[[#This Row],[Costo_unitario]]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version_inicial3" displayName="Inversion_inicial3" ref="A14:H24" totalsRowShown="0">
  <autoFilter ref="A14:H24"/>
  <tableColumns count="8">
    <tableColumn id="1" name="Productos"/>
    <tableColumn id="2" name="Formato"/>
    <tableColumn id="3" name="Inventario  inicial"/>
    <tableColumn id="8" name="inventario_actual" dataDxfId="5">
      <calculatedColumnFormula>Inversion_inicial3[[#This Row],[Inventario  inicial]]-Inversion_inicial3[[#This Row],[Mercancia vendida]]</calculatedColumnFormula>
    </tableColumn>
    <tableColumn id="4" name="Mercancia vendida" dataDxfId="6" dataCellStyle="Moneda"/>
    <tableColumn id="9" name="Importe_de_Ventas" dataDxfId="0">
      <calculatedColumnFormula>SUBTOTAL(109,F6:F14)</calculatedColumnFormula>
    </tableColumn>
    <tableColumn id="5" name="Importe_costo_venta" dataDxfId="3" dataCellStyle="Moneda">
      <calculatedColumnFormula>Inversion_inicial3[[#This Row],[Mercancia vendida]]*D2</calculatedColumnFormula>
    </tableColumn>
    <tableColumn id="6" name="Utilidad" dataDxfId="4" dataCellStyle="Moneda">
      <calculatedColumnFormula>G2*Inversion_inicial3[[#This Row],[Mercancia vendida]]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version_inicial34" displayName="Inversion_inicial34" ref="A27:D36" totalsRowShown="0">
  <autoFilter ref="A27:D36"/>
  <tableColumns count="4">
    <tableColumn id="1" name="Productos"/>
    <tableColumn id="2" name="Formato"/>
    <tableColumn id="4" name="Inventario actual" dataDxfId="8" dataCellStyle="Moneda"/>
    <tableColumn id="5" name="Importe_inventario_actual" dataDxfId="7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sqref="A1:N11"/>
    </sheetView>
  </sheetViews>
  <sheetFormatPr baseColWidth="10" defaultRowHeight="15" x14ac:dyDescent="0.25"/>
  <cols>
    <col min="1" max="1" width="24.28515625" customWidth="1"/>
    <col min="10" max="10" width="15.5703125" bestFit="1" customWidth="1"/>
    <col min="11" max="11" width="15.5703125" customWidth="1"/>
    <col min="12" max="12" width="16.28515625" bestFit="1" customWidth="1"/>
  </cols>
  <sheetData>
    <row r="1" spans="1:14" x14ac:dyDescent="0.25">
      <c r="A1" t="s">
        <v>4</v>
      </c>
      <c r="B1" t="s">
        <v>6</v>
      </c>
      <c r="C1" t="s">
        <v>0</v>
      </c>
      <c r="D1" t="s">
        <v>53</v>
      </c>
      <c r="E1" t="s">
        <v>1</v>
      </c>
      <c r="F1" t="s">
        <v>15</v>
      </c>
      <c r="G1" t="s">
        <v>54</v>
      </c>
      <c r="H1" t="s">
        <v>2</v>
      </c>
      <c r="I1" t="s">
        <v>3</v>
      </c>
      <c r="J1" t="s">
        <v>27</v>
      </c>
      <c r="K1" t="s">
        <v>29</v>
      </c>
      <c r="L1" t="s">
        <v>55</v>
      </c>
      <c r="M1" t="s">
        <v>8</v>
      </c>
    </row>
    <row r="2" spans="1:14" x14ac:dyDescent="0.25">
      <c r="A2" t="s">
        <v>5</v>
      </c>
      <c r="B2" t="s">
        <v>7</v>
      </c>
      <c r="C2">
        <v>12</v>
      </c>
      <c r="D2">
        <v>2</v>
      </c>
      <c r="E2" s="3">
        <v>420</v>
      </c>
      <c r="F2" s="3">
        <f>C2*E2</f>
        <v>5040</v>
      </c>
      <c r="G2" s="3">
        <f>E2*D2</f>
        <v>840</v>
      </c>
      <c r="H2" s="3">
        <v>550</v>
      </c>
      <c r="I2" t="s">
        <v>9</v>
      </c>
      <c r="J2" s="2">
        <f>(H2-E2)/H2</f>
        <v>0.23636363636363636</v>
      </c>
      <c r="K2" s="3">
        <f>H2-E2</f>
        <v>130</v>
      </c>
      <c r="L2" s="6"/>
      <c r="M2" t="s">
        <v>9</v>
      </c>
      <c r="N2" t="s">
        <v>10</v>
      </c>
    </row>
    <row r="3" spans="1:14" x14ac:dyDescent="0.25">
      <c r="A3" t="s">
        <v>5</v>
      </c>
      <c r="B3" t="s">
        <v>7</v>
      </c>
      <c r="C3">
        <v>15</v>
      </c>
      <c r="D3">
        <v>15</v>
      </c>
      <c r="E3" s="3">
        <v>500</v>
      </c>
      <c r="F3" s="3">
        <f>C3*E3</f>
        <v>7500</v>
      </c>
      <c r="G3" s="3">
        <f>E3*D3</f>
        <v>7500</v>
      </c>
      <c r="H3" s="3">
        <v>600</v>
      </c>
      <c r="I3" t="s">
        <v>9</v>
      </c>
      <c r="J3" s="2">
        <f>(H3-E3)/H3</f>
        <v>0.16666666666666666</v>
      </c>
      <c r="K3" s="3">
        <f>H3-E3</f>
        <v>100</v>
      </c>
      <c r="L3" s="6"/>
    </row>
    <row r="4" spans="1:14" x14ac:dyDescent="0.25">
      <c r="A4" t="s">
        <v>56</v>
      </c>
      <c r="B4" t="s">
        <v>7</v>
      </c>
      <c r="C4">
        <v>10</v>
      </c>
      <c r="D4">
        <v>10</v>
      </c>
      <c r="E4" s="3">
        <v>500</v>
      </c>
      <c r="F4" s="3">
        <f>C4*E4</f>
        <v>5000</v>
      </c>
      <c r="G4" s="3">
        <f>E4*D4</f>
        <v>5000</v>
      </c>
      <c r="H4" s="3">
        <v>600</v>
      </c>
      <c r="I4" t="s">
        <v>9</v>
      </c>
      <c r="J4" s="2">
        <f>(H4-E4)/H4</f>
        <v>0.16666666666666666</v>
      </c>
      <c r="K4" s="3">
        <f>H4-E4</f>
        <v>100</v>
      </c>
      <c r="L4" s="6"/>
    </row>
    <row r="5" spans="1:14" x14ac:dyDescent="0.25">
      <c r="A5" t="s">
        <v>18</v>
      </c>
      <c r="B5" t="s">
        <v>28</v>
      </c>
      <c r="C5">
        <v>6</v>
      </c>
      <c r="D5">
        <v>0</v>
      </c>
      <c r="E5" s="3">
        <v>2800</v>
      </c>
      <c r="F5" s="3">
        <f t="shared" ref="F5:F9" si="0">C5*E5</f>
        <v>16800</v>
      </c>
      <c r="G5" s="3">
        <f>E5*D5</f>
        <v>0</v>
      </c>
      <c r="H5" s="3">
        <v>3000</v>
      </c>
      <c r="I5" t="s">
        <v>11</v>
      </c>
      <c r="J5" s="2">
        <f t="shared" ref="J5:J11" si="1">(H5-E5)/H5</f>
        <v>6.6666666666666666E-2</v>
      </c>
      <c r="K5" s="3">
        <f t="shared" ref="K5:K9" si="2">H5-E5</f>
        <v>200</v>
      </c>
      <c r="L5" s="3"/>
      <c r="M5" t="s">
        <v>11</v>
      </c>
      <c r="N5" t="s">
        <v>11</v>
      </c>
    </row>
    <row r="6" spans="1:14" x14ac:dyDescent="0.25">
      <c r="A6" t="s">
        <v>21</v>
      </c>
      <c r="B6" t="s">
        <v>22</v>
      </c>
      <c r="C6">
        <v>50</v>
      </c>
      <c r="D6">
        <v>37</v>
      </c>
      <c r="E6" s="3">
        <v>315</v>
      </c>
      <c r="F6" s="3">
        <f t="shared" si="0"/>
        <v>15750</v>
      </c>
      <c r="G6" s="3">
        <f t="shared" ref="G6:G9" si="3">E6*D6</f>
        <v>11655</v>
      </c>
      <c r="H6" s="3">
        <v>450</v>
      </c>
      <c r="I6" t="s">
        <v>11</v>
      </c>
      <c r="J6" s="2">
        <f t="shared" si="1"/>
        <v>0.3</v>
      </c>
      <c r="K6" s="3">
        <f t="shared" si="2"/>
        <v>135</v>
      </c>
      <c r="L6" s="3"/>
      <c r="M6" t="s">
        <v>12</v>
      </c>
      <c r="N6" t="s">
        <v>13</v>
      </c>
    </row>
    <row r="7" spans="1:14" x14ac:dyDescent="0.25">
      <c r="A7" t="s">
        <v>20</v>
      </c>
      <c r="B7" t="s">
        <v>19</v>
      </c>
      <c r="C7">
        <v>48</v>
      </c>
      <c r="D7">
        <v>45</v>
      </c>
      <c r="E7" s="3">
        <v>240</v>
      </c>
      <c r="F7" s="3">
        <f t="shared" si="0"/>
        <v>11520</v>
      </c>
      <c r="G7" s="3">
        <f t="shared" si="3"/>
        <v>10800</v>
      </c>
      <c r="H7" s="3">
        <v>300</v>
      </c>
      <c r="I7" t="s">
        <v>11</v>
      </c>
      <c r="J7" s="2">
        <f t="shared" si="1"/>
        <v>0.2</v>
      </c>
      <c r="K7" s="3">
        <f t="shared" si="2"/>
        <v>60</v>
      </c>
      <c r="L7" s="3"/>
      <c r="M7" t="s">
        <v>14</v>
      </c>
      <c r="N7" t="s">
        <v>14</v>
      </c>
    </row>
    <row r="8" spans="1:14" x14ac:dyDescent="0.25">
      <c r="A8" t="s">
        <v>43</v>
      </c>
      <c r="B8" t="s">
        <v>19</v>
      </c>
      <c r="C8">
        <v>39</v>
      </c>
      <c r="D8">
        <v>37</v>
      </c>
      <c r="E8" s="3">
        <v>135</v>
      </c>
      <c r="F8" s="3">
        <f t="shared" si="0"/>
        <v>5265</v>
      </c>
      <c r="G8" s="3">
        <f t="shared" si="3"/>
        <v>4995</v>
      </c>
      <c r="H8" s="3">
        <v>160</v>
      </c>
      <c r="I8" t="s">
        <v>11</v>
      </c>
      <c r="J8" s="2">
        <f t="shared" si="1"/>
        <v>0.15625</v>
      </c>
      <c r="K8" s="3">
        <f t="shared" si="2"/>
        <v>25</v>
      </c>
      <c r="L8" s="3"/>
    </row>
    <row r="9" spans="1:14" x14ac:dyDescent="0.25">
      <c r="A9" t="s">
        <v>44</v>
      </c>
      <c r="B9" t="s">
        <v>22</v>
      </c>
      <c r="C9">
        <v>24</v>
      </c>
      <c r="D9">
        <v>23</v>
      </c>
      <c r="E9" s="3">
        <v>370</v>
      </c>
      <c r="F9" s="3">
        <f t="shared" si="0"/>
        <v>8880</v>
      </c>
      <c r="G9" s="3">
        <f t="shared" si="3"/>
        <v>8510</v>
      </c>
      <c r="H9" s="3">
        <v>450</v>
      </c>
      <c r="I9" t="s">
        <v>11</v>
      </c>
      <c r="J9" s="2">
        <f t="shared" si="1"/>
        <v>0.17777777777777778</v>
      </c>
      <c r="K9" s="3">
        <f t="shared" si="2"/>
        <v>80</v>
      </c>
      <c r="L9" s="3"/>
    </row>
    <row r="10" spans="1:14" x14ac:dyDescent="0.25">
      <c r="F10" s="3">
        <f>SUM(F2:F9)</f>
        <v>75755</v>
      </c>
      <c r="G10" s="5">
        <f>SUM(G2:G9)</f>
        <v>49300</v>
      </c>
    </row>
    <row r="11" spans="1:14" x14ac:dyDescent="0.25">
      <c r="E11">
        <v>700</v>
      </c>
      <c r="H11">
        <v>1000</v>
      </c>
      <c r="J11" s="2">
        <f t="shared" si="1"/>
        <v>0.3</v>
      </c>
      <c r="K11" s="2"/>
      <c r="L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tabSelected="1" topLeftCell="A22" workbookViewId="0">
      <selection activeCell="F27" sqref="F27"/>
    </sheetView>
  </sheetViews>
  <sheetFormatPr baseColWidth="10" defaultRowHeight="15" x14ac:dyDescent="0.25"/>
  <cols>
    <col min="1" max="1" width="21.42578125" customWidth="1"/>
    <col min="3" max="3" width="18.42578125" customWidth="1"/>
    <col min="4" max="4" width="50" style="8" customWidth="1"/>
    <col min="5" max="5" width="22" style="8" customWidth="1"/>
    <col min="6" max="6" width="19.140625" style="8" customWidth="1"/>
    <col min="7" max="7" width="15.85546875" customWidth="1"/>
    <col min="8" max="8" width="13.7109375" customWidth="1"/>
  </cols>
  <sheetData>
    <row r="1" spans="1:21" x14ac:dyDescent="0.25">
      <c r="A1" t="s">
        <v>4</v>
      </c>
      <c r="B1" t="s">
        <v>6</v>
      </c>
      <c r="C1" t="s">
        <v>67</v>
      </c>
      <c r="D1" s="8" t="s">
        <v>65</v>
      </c>
      <c r="E1" s="8" t="s">
        <v>66</v>
      </c>
      <c r="F1" s="8" t="s">
        <v>63</v>
      </c>
      <c r="G1" t="s">
        <v>64</v>
      </c>
      <c r="K1" t="s">
        <v>53</v>
      </c>
      <c r="L1" t="s">
        <v>1</v>
      </c>
      <c r="M1" t="s">
        <v>15</v>
      </c>
      <c r="N1" t="s">
        <v>54</v>
      </c>
      <c r="O1" t="s">
        <v>2</v>
      </c>
      <c r="P1" t="s">
        <v>3</v>
      </c>
      <c r="Q1" t="s">
        <v>27</v>
      </c>
      <c r="R1" t="s">
        <v>29</v>
      </c>
      <c r="S1" t="s">
        <v>55</v>
      </c>
      <c r="T1" t="s">
        <v>8</v>
      </c>
    </row>
    <row r="2" spans="1:21" x14ac:dyDescent="0.25">
      <c r="A2" t="s">
        <v>5</v>
      </c>
      <c r="B2" t="s">
        <v>7</v>
      </c>
      <c r="C2">
        <v>12</v>
      </c>
      <c r="D2" s="9">
        <v>420</v>
      </c>
      <c r="E2" s="9">
        <f>SUM(C2*D2)</f>
        <v>5040</v>
      </c>
      <c r="F2" s="9">
        <v>550</v>
      </c>
      <c r="G2" s="9">
        <f>Inversion_inicial[[#This Row],[Precio_vent_unitario]]-Inversion_inicial[[#This Row],[Costo_unitario]]</f>
        <v>130</v>
      </c>
      <c r="K2">
        <v>2</v>
      </c>
      <c r="L2" s="3">
        <v>420</v>
      </c>
      <c r="M2" s="3">
        <f>C2*L2</f>
        <v>5040</v>
      </c>
      <c r="N2" s="3">
        <f>L2*K2</f>
        <v>840</v>
      </c>
      <c r="O2" s="3">
        <v>550</v>
      </c>
      <c r="P2" t="s">
        <v>9</v>
      </c>
      <c r="Q2" s="2">
        <f>(O2-L2)/O2</f>
        <v>0.23636363636363636</v>
      </c>
      <c r="R2" s="3">
        <f>O2-L2</f>
        <v>130</v>
      </c>
      <c r="S2" s="6"/>
      <c r="T2" t="s">
        <v>9</v>
      </c>
      <c r="U2" t="s">
        <v>10</v>
      </c>
    </row>
    <row r="3" spans="1:21" x14ac:dyDescent="0.25">
      <c r="A3" t="s">
        <v>5</v>
      </c>
      <c r="B3" t="s">
        <v>7</v>
      </c>
      <c r="C3">
        <v>15</v>
      </c>
      <c r="D3" s="9">
        <v>500</v>
      </c>
      <c r="E3" s="9">
        <f t="shared" ref="E3:E9" si="0">SUM(C3*D3)</f>
        <v>7500</v>
      </c>
      <c r="F3" s="9">
        <v>600</v>
      </c>
      <c r="G3" s="9">
        <f>Inversion_inicial[[#This Row],[Precio_vent_unitario]]-Inversion_inicial[[#This Row],[Costo_unitario]]</f>
        <v>100</v>
      </c>
      <c r="K3">
        <v>15</v>
      </c>
      <c r="L3" s="3">
        <v>500</v>
      </c>
      <c r="M3" s="3">
        <f>C3*L3</f>
        <v>7500</v>
      </c>
      <c r="N3" s="3">
        <f>L3*K3</f>
        <v>7500</v>
      </c>
      <c r="O3" s="3">
        <v>600</v>
      </c>
      <c r="P3" t="s">
        <v>9</v>
      </c>
      <c r="Q3" s="2">
        <f>(O3-L3)/O3</f>
        <v>0.16666666666666666</v>
      </c>
      <c r="R3" s="3">
        <f>O3-L3</f>
        <v>100</v>
      </c>
      <c r="S3" s="6"/>
    </row>
    <row r="4" spans="1:21" x14ac:dyDescent="0.25">
      <c r="A4" t="s">
        <v>56</v>
      </c>
      <c r="B4" t="s">
        <v>7</v>
      </c>
      <c r="C4">
        <v>10</v>
      </c>
      <c r="D4" s="9">
        <v>500</v>
      </c>
      <c r="E4" s="9">
        <f t="shared" si="0"/>
        <v>5000</v>
      </c>
      <c r="F4" s="9">
        <v>600</v>
      </c>
      <c r="G4" s="9">
        <f>Inversion_inicial[[#This Row],[Precio_vent_unitario]]-Inversion_inicial[[#This Row],[Costo_unitario]]</f>
        <v>100</v>
      </c>
      <c r="K4">
        <v>10</v>
      </c>
      <c r="L4" s="3">
        <v>500</v>
      </c>
      <c r="M4" s="3">
        <f>C4*L4</f>
        <v>5000</v>
      </c>
      <c r="N4" s="3">
        <f>L4*K4</f>
        <v>5000</v>
      </c>
      <c r="O4" s="3">
        <v>600</v>
      </c>
      <c r="P4" t="s">
        <v>9</v>
      </c>
      <c r="Q4" s="2">
        <f>(O4-L4)/O4</f>
        <v>0.16666666666666666</v>
      </c>
      <c r="R4" s="3">
        <f>O4-L4</f>
        <v>100</v>
      </c>
      <c r="S4" s="6"/>
    </row>
    <row r="5" spans="1:21" x14ac:dyDescent="0.25">
      <c r="A5" t="s">
        <v>18</v>
      </c>
      <c r="B5" t="s">
        <v>28</v>
      </c>
      <c r="C5">
        <v>6</v>
      </c>
      <c r="D5" s="9">
        <v>2800</v>
      </c>
      <c r="E5" s="9">
        <f t="shared" si="0"/>
        <v>16800</v>
      </c>
      <c r="F5" s="9">
        <v>3000</v>
      </c>
      <c r="G5" s="9">
        <f>Inversion_inicial[[#This Row],[Precio_vent_unitario]]-Inversion_inicial[[#This Row],[Costo_unitario]]</f>
        <v>200</v>
      </c>
      <c r="K5">
        <v>0</v>
      </c>
      <c r="L5" s="3">
        <v>2800</v>
      </c>
      <c r="M5" s="3">
        <f>C5*L5</f>
        <v>16800</v>
      </c>
      <c r="N5" s="3">
        <f>L5*K5</f>
        <v>0</v>
      </c>
      <c r="O5" s="3">
        <v>3000</v>
      </c>
      <c r="P5" t="s">
        <v>11</v>
      </c>
      <c r="Q5" s="2">
        <f>(O5-L5)/O5</f>
        <v>6.6666666666666666E-2</v>
      </c>
      <c r="R5" s="3">
        <f>O5-L5</f>
        <v>200</v>
      </c>
      <c r="S5" s="3"/>
      <c r="T5" t="s">
        <v>11</v>
      </c>
      <c r="U5" t="s">
        <v>11</v>
      </c>
    </row>
    <row r="6" spans="1:21" x14ac:dyDescent="0.25">
      <c r="A6" t="s">
        <v>21</v>
      </c>
      <c r="B6" t="s">
        <v>22</v>
      </c>
      <c r="C6">
        <v>50</v>
      </c>
      <c r="D6" s="9">
        <v>315</v>
      </c>
      <c r="E6" s="9">
        <f t="shared" si="0"/>
        <v>15750</v>
      </c>
      <c r="F6" s="9">
        <v>450</v>
      </c>
      <c r="G6" s="9">
        <f>Inversion_inicial[[#This Row],[Precio_vent_unitario]]-Inversion_inicial[[#This Row],[Costo_unitario]]</f>
        <v>135</v>
      </c>
      <c r="K6">
        <v>37</v>
      </c>
      <c r="L6" s="3">
        <v>315</v>
      </c>
      <c r="M6" s="3">
        <f>C6*L6</f>
        <v>15750</v>
      </c>
      <c r="N6" s="3">
        <f>L6*K6</f>
        <v>11655</v>
      </c>
      <c r="O6" s="3">
        <v>450</v>
      </c>
      <c r="P6" t="s">
        <v>11</v>
      </c>
      <c r="Q6" s="2">
        <f>(O6-L6)/O6</f>
        <v>0.3</v>
      </c>
      <c r="R6" s="3">
        <f>O6-L6</f>
        <v>135</v>
      </c>
      <c r="S6" s="3"/>
      <c r="T6" t="s">
        <v>12</v>
      </c>
      <c r="U6" t="s">
        <v>13</v>
      </c>
    </row>
    <row r="7" spans="1:21" x14ac:dyDescent="0.25">
      <c r="A7" t="s">
        <v>20</v>
      </c>
      <c r="B7" t="s">
        <v>19</v>
      </c>
      <c r="C7">
        <v>48</v>
      </c>
      <c r="D7" s="9">
        <v>240</v>
      </c>
      <c r="E7" s="9">
        <f t="shared" si="0"/>
        <v>11520</v>
      </c>
      <c r="F7" s="9">
        <v>300</v>
      </c>
      <c r="G7" s="9">
        <f>Inversion_inicial[[#This Row],[Precio_vent_unitario]]-Inversion_inicial[[#This Row],[Costo_unitario]]</f>
        <v>60</v>
      </c>
      <c r="K7">
        <v>45</v>
      </c>
      <c r="L7" s="3">
        <v>240</v>
      </c>
      <c r="M7" s="3">
        <f>C7*L7</f>
        <v>11520</v>
      </c>
      <c r="N7" s="3">
        <f>L7*K7</f>
        <v>10800</v>
      </c>
      <c r="O7" s="3">
        <v>300</v>
      </c>
      <c r="P7" t="s">
        <v>11</v>
      </c>
      <c r="Q7" s="2">
        <f>(O7-L7)/O7</f>
        <v>0.2</v>
      </c>
      <c r="R7" s="3">
        <f>O7-L7</f>
        <v>60</v>
      </c>
      <c r="S7" s="3"/>
      <c r="T7" t="s">
        <v>14</v>
      </c>
      <c r="U7" t="s">
        <v>14</v>
      </c>
    </row>
    <row r="8" spans="1:21" x14ac:dyDescent="0.25">
      <c r="A8" t="s">
        <v>43</v>
      </c>
      <c r="B8" t="s">
        <v>19</v>
      </c>
      <c r="C8">
        <v>39</v>
      </c>
      <c r="D8" s="9">
        <v>135</v>
      </c>
      <c r="E8" s="9">
        <f t="shared" si="0"/>
        <v>5265</v>
      </c>
      <c r="F8" s="9">
        <v>160</v>
      </c>
      <c r="G8" s="9">
        <f>Inversion_inicial[[#This Row],[Precio_vent_unitario]]-Inversion_inicial[[#This Row],[Costo_unitario]]</f>
        <v>25</v>
      </c>
      <c r="K8">
        <v>37</v>
      </c>
      <c r="L8" s="3">
        <v>135</v>
      </c>
      <c r="M8" s="3">
        <f>C8*L8</f>
        <v>5265</v>
      </c>
      <c r="N8" s="3">
        <f>L8*K8</f>
        <v>4995</v>
      </c>
      <c r="O8" s="3">
        <v>160</v>
      </c>
      <c r="P8" t="s">
        <v>11</v>
      </c>
      <c r="Q8" s="2">
        <f>(O8-L8)/O8</f>
        <v>0.15625</v>
      </c>
      <c r="R8" s="3">
        <f>O8-L8</f>
        <v>25</v>
      </c>
      <c r="S8" s="3"/>
    </row>
    <row r="9" spans="1:21" x14ac:dyDescent="0.25">
      <c r="A9" t="s">
        <v>44</v>
      </c>
      <c r="B9" t="s">
        <v>22</v>
      </c>
      <c r="C9">
        <v>24</v>
      </c>
      <c r="D9" s="9">
        <v>370</v>
      </c>
      <c r="E9" s="9">
        <f t="shared" si="0"/>
        <v>8880</v>
      </c>
      <c r="F9" s="9">
        <v>450</v>
      </c>
      <c r="G9" s="9">
        <f>Inversion_inicial[[#This Row],[Precio_vent_unitario]]-Inversion_inicial[[#This Row],[Costo_unitario]]</f>
        <v>80</v>
      </c>
      <c r="K9">
        <v>23</v>
      </c>
      <c r="L9" s="3">
        <v>370</v>
      </c>
      <c r="M9" s="3">
        <f>C9*L9</f>
        <v>8880</v>
      </c>
      <c r="N9" s="3">
        <f>L9*K9</f>
        <v>8510</v>
      </c>
      <c r="O9" s="3">
        <v>450</v>
      </c>
      <c r="P9" t="s">
        <v>11</v>
      </c>
      <c r="Q9" s="2">
        <f>(O9-L9)/O9</f>
        <v>0.17777777777777778</v>
      </c>
      <c r="R9" s="3">
        <f>O9-L9</f>
        <v>80</v>
      </c>
      <c r="S9" s="3"/>
    </row>
    <row r="10" spans="1:21" x14ac:dyDescent="0.25">
      <c r="D10" s="9" t="s">
        <v>59</v>
      </c>
      <c r="E10" s="13">
        <f>SUBTOTAL(109,E2:E9)</f>
        <v>75755</v>
      </c>
      <c r="G10" s="9"/>
      <c r="M10" s="3">
        <f>SUM(M2:M9)</f>
        <v>75755</v>
      </c>
      <c r="N10" s="5">
        <f>SUM(N2:N9)</f>
        <v>49300</v>
      </c>
    </row>
    <row r="11" spans="1:21" x14ac:dyDescent="0.25">
      <c r="L11">
        <v>700</v>
      </c>
      <c r="O11">
        <v>1000</v>
      </c>
      <c r="Q11" s="2">
        <f>(O11-L11)/O11</f>
        <v>0.3</v>
      </c>
      <c r="R11" s="2"/>
      <c r="S11" s="2"/>
    </row>
    <row r="14" spans="1:21" x14ac:dyDescent="0.25">
      <c r="A14" t="s">
        <v>4</v>
      </c>
      <c r="B14" t="s">
        <v>6</v>
      </c>
      <c r="C14" t="s">
        <v>58</v>
      </c>
      <c r="D14" t="s">
        <v>69</v>
      </c>
      <c r="E14" s="8" t="s">
        <v>61</v>
      </c>
      <c r="F14" s="8" t="s">
        <v>71</v>
      </c>
      <c r="G14" s="8" t="s">
        <v>70</v>
      </c>
      <c r="H14" t="s">
        <v>62</v>
      </c>
    </row>
    <row r="15" spans="1:21" x14ac:dyDescent="0.25">
      <c r="A15" t="s">
        <v>5</v>
      </c>
      <c r="B15" t="s">
        <v>7</v>
      </c>
      <c r="C15">
        <v>12</v>
      </c>
      <c r="D15">
        <f>Inversion_inicial3[[#This Row],[Inventario  inicial]]-Inversion_inicial3[[#This Row],[Mercancia vendida]]</f>
        <v>2</v>
      </c>
      <c r="E15">
        <v>10</v>
      </c>
      <c r="F15" s="8">
        <f>Inversion_inicial3[[#This Row],[Mercancia vendida]]*F2</f>
        <v>5500</v>
      </c>
      <c r="G15" s="9">
        <f>Inversion_inicial3[[#This Row],[Mercancia vendida]]*D2</f>
        <v>4200</v>
      </c>
      <c r="H15" s="9">
        <f>G2*Inversion_inicial3[[#This Row],[Mercancia vendida]]</f>
        <v>1300</v>
      </c>
    </row>
    <row r="16" spans="1:21" x14ac:dyDescent="0.25">
      <c r="A16" t="s">
        <v>5</v>
      </c>
      <c r="B16" t="s">
        <v>7</v>
      </c>
      <c r="C16">
        <v>15</v>
      </c>
      <c r="D16">
        <f>Inversion_inicial3[[#This Row],[Inventario  inicial]]-Inversion_inicial3[[#This Row],[Mercancia vendida]]</f>
        <v>15</v>
      </c>
      <c r="E16">
        <v>0</v>
      </c>
      <c r="F16" s="8">
        <f t="shared" ref="F15:F24" si="1">SUBTOTAL(109,F7:F15)</f>
        <v>6410</v>
      </c>
      <c r="G16" s="9">
        <f>Inversion_inicial3[[#This Row],[Mercancia vendida]]*D3</f>
        <v>0</v>
      </c>
      <c r="H16" s="9">
        <f>G3*Inversion_inicial3[[#This Row],[Mercancia vendida]]</f>
        <v>0</v>
      </c>
    </row>
    <row r="17" spans="1:8" x14ac:dyDescent="0.25">
      <c r="A17" t="s">
        <v>56</v>
      </c>
      <c r="B17" t="s">
        <v>7</v>
      </c>
      <c r="C17">
        <v>10</v>
      </c>
      <c r="D17">
        <f>Inversion_inicial3[[#This Row],[Inventario  inicial]]-Inversion_inicial3[[#This Row],[Mercancia vendida]]</f>
        <v>10</v>
      </c>
      <c r="E17">
        <v>0</v>
      </c>
      <c r="F17" s="8">
        <f t="shared" si="1"/>
        <v>6110</v>
      </c>
      <c r="G17" s="9">
        <f>Inversion_inicial3[[#This Row],[Mercancia vendida]]*D4</f>
        <v>0</v>
      </c>
      <c r="H17" s="9">
        <f>G4*Inversion_inicial3[[#This Row],[Mercancia vendida]]</f>
        <v>0</v>
      </c>
    </row>
    <row r="18" spans="1:8" x14ac:dyDescent="0.25">
      <c r="A18" t="s">
        <v>18</v>
      </c>
      <c r="B18" t="s">
        <v>28</v>
      </c>
      <c r="C18">
        <v>6</v>
      </c>
      <c r="D18">
        <f>Inversion_inicial3[[#This Row],[Inventario  inicial]]-Inversion_inicial3[[#This Row],[Mercancia vendida]]</f>
        <v>0</v>
      </c>
      <c r="E18">
        <v>6</v>
      </c>
      <c r="F18" s="8">
        <f t="shared" si="1"/>
        <v>5950</v>
      </c>
      <c r="G18" s="9">
        <f>Inversion_inicial3[[#This Row],[Mercancia vendida]]*D5</f>
        <v>16800</v>
      </c>
      <c r="H18" s="9">
        <f>G5*Inversion_inicial3[[#This Row],[Mercancia vendida]]</f>
        <v>1200</v>
      </c>
    </row>
    <row r="19" spans="1:8" x14ac:dyDescent="0.25">
      <c r="A19" t="s">
        <v>21</v>
      </c>
      <c r="B19" t="s">
        <v>22</v>
      </c>
      <c r="C19">
        <v>50</v>
      </c>
      <c r="D19">
        <f>Inversion_inicial3[[#This Row],[Inventario  inicial]]-Inversion_inicial3[[#This Row],[Mercancia vendida]]</f>
        <v>37</v>
      </c>
      <c r="E19">
        <v>13</v>
      </c>
      <c r="F19" s="8">
        <f t="shared" si="1"/>
        <v>5500</v>
      </c>
      <c r="G19" s="9">
        <f>Inversion_inicial3[[#This Row],[Mercancia vendida]]*D6</f>
        <v>4095</v>
      </c>
      <c r="H19" s="9">
        <f>G6*Inversion_inicial3[[#This Row],[Mercancia vendida]]</f>
        <v>1755</v>
      </c>
    </row>
    <row r="20" spans="1:8" x14ac:dyDescent="0.25">
      <c r="A20" t="s">
        <v>20</v>
      </c>
      <c r="B20" t="s">
        <v>19</v>
      </c>
      <c r="C20">
        <v>48</v>
      </c>
      <c r="D20">
        <f>Inversion_inicial3[[#This Row],[Inventario  inicial]]-Inversion_inicial3[[#This Row],[Mercancia vendida]]</f>
        <v>45</v>
      </c>
      <c r="E20">
        <v>3</v>
      </c>
      <c r="F20" s="8">
        <f t="shared" si="1"/>
        <v>5500</v>
      </c>
      <c r="G20" s="9">
        <f>Inversion_inicial3[[#This Row],[Mercancia vendida]]*D7</f>
        <v>720</v>
      </c>
      <c r="H20" s="9">
        <f>G7*Inversion_inicial3[[#This Row],[Mercancia vendida]]</f>
        <v>180</v>
      </c>
    </row>
    <row r="21" spans="1:8" x14ac:dyDescent="0.25">
      <c r="A21" t="s">
        <v>43</v>
      </c>
      <c r="B21" t="s">
        <v>19</v>
      </c>
      <c r="C21">
        <v>39</v>
      </c>
      <c r="D21">
        <f>Inversion_inicial3[[#This Row],[Inventario  inicial]]-Inversion_inicial3[[#This Row],[Mercancia vendida]]</f>
        <v>37</v>
      </c>
      <c r="E21">
        <v>2</v>
      </c>
      <c r="F21" s="8">
        <f t="shared" si="1"/>
        <v>5500</v>
      </c>
      <c r="G21" s="9">
        <f>Inversion_inicial3[[#This Row],[Mercancia vendida]]*D8</f>
        <v>270</v>
      </c>
      <c r="H21" s="9">
        <f>G8*Inversion_inicial3[[#This Row],[Mercancia vendida]]</f>
        <v>50</v>
      </c>
    </row>
    <row r="22" spans="1:8" x14ac:dyDescent="0.25">
      <c r="A22" t="s">
        <v>44</v>
      </c>
      <c r="B22" t="s">
        <v>22</v>
      </c>
      <c r="C22">
        <v>24</v>
      </c>
      <c r="D22">
        <f>Inversion_inicial3[[#This Row],[Inventario  inicial]]-Inversion_inicial3[[#This Row],[Mercancia vendida]]</f>
        <v>23</v>
      </c>
      <c r="E22">
        <v>1</v>
      </c>
      <c r="F22" s="8">
        <f t="shared" si="1"/>
        <v>5500</v>
      </c>
      <c r="G22" s="9">
        <f>Inversion_inicial3[[#This Row],[Mercancia vendida]]*D9</f>
        <v>370</v>
      </c>
      <c r="H22" s="9">
        <f>G9*Inversion_inicial3[[#This Row],[Mercancia vendida]]</f>
        <v>80</v>
      </c>
    </row>
    <row r="23" spans="1:8" x14ac:dyDescent="0.25">
      <c r="D23"/>
      <c r="E23" s="9"/>
      <c r="F23" s="9"/>
      <c r="G23" s="11"/>
      <c r="H23" s="13"/>
    </row>
    <row r="24" spans="1:8" x14ac:dyDescent="0.25">
      <c r="D24" s="14"/>
      <c r="E24" s="15" t="s">
        <v>45</v>
      </c>
      <c r="F24" s="11">
        <f>SUBTOTAL(109,F15:F23)</f>
        <v>5500</v>
      </c>
      <c r="G24" s="11">
        <f>SUBTOTAL(109,G15:G23)</f>
        <v>26455</v>
      </c>
      <c r="H24" s="11">
        <f>SUBTOTAL(109,H15:H23)</f>
        <v>4565</v>
      </c>
    </row>
    <row r="27" spans="1:8" x14ac:dyDescent="0.25">
      <c r="A27" t="s">
        <v>4</v>
      </c>
      <c r="B27" t="s">
        <v>6</v>
      </c>
      <c r="C27" s="8" t="s">
        <v>60</v>
      </c>
      <c r="D27" s="8" t="s">
        <v>68</v>
      </c>
      <c r="E27"/>
      <c r="F27"/>
    </row>
    <row r="28" spans="1:8" x14ac:dyDescent="0.25">
      <c r="A28" t="s">
        <v>5</v>
      </c>
      <c r="B28" t="s">
        <v>7</v>
      </c>
      <c r="C28">
        <f>D15</f>
        <v>2</v>
      </c>
      <c r="D28" s="9">
        <f>Inversion_inicial34[[#This Row],[Inventario actual]]*D2</f>
        <v>840</v>
      </c>
      <c r="E28"/>
      <c r="F28"/>
    </row>
    <row r="29" spans="1:8" x14ac:dyDescent="0.25">
      <c r="A29" t="s">
        <v>5</v>
      </c>
      <c r="B29" t="s">
        <v>7</v>
      </c>
      <c r="C29">
        <f t="shared" ref="C29:C35" si="2">D16</f>
        <v>15</v>
      </c>
      <c r="D29" s="9">
        <f>Inversion_inicial34[[#This Row],[Inventario actual]]*D3</f>
        <v>7500</v>
      </c>
      <c r="E29"/>
      <c r="F29"/>
    </row>
    <row r="30" spans="1:8" x14ac:dyDescent="0.25">
      <c r="A30" t="s">
        <v>56</v>
      </c>
      <c r="B30" t="s">
        <v>7</v>
      </c>
      <c r="C30">
        <f t="shared" si="2"/>
        <v>10</v>
      </c>
      <c r="D30" s="9">
        <f>Inversion_inicial34[[#This Row],[Inventario actual]]*D4</f>
        <v>5000</v>
      </c>
      <c r="E30"/>
      <c r="F30"/>
    </row>
    <row r="31" spans="1:8" x14ac:dyDescent="0.25">
      <c r="A31" t="s">
        <v>18</v>
      </c>
      <c r="B31" t="s">
        <v>28</v>
      </c>
      <c r="C31">
        <f t="shared" si="2"/>
        <v>0</v>
      </c>
      <c r="D31" s="9">
        <f>Inversion_inicial34[[#This Row],[Inventario actual]]*D5</f>
        <v>0</v>
      </c>
      <c r="E31"/>
      <c r="F31"/>
    </row>
    <row r="32" spans="1:8" x14ac:dyDescent="0.25">
      <c r="A32" t="s">
        <v>21</v>
      </c>
      <c r="B32" t="s">
        <v>22</v>
      </c>
      <c r="C32">
        <f t="shared" si="2"/>
        <v>37</v>
      </c>
      <c r="D32" s="9">
        <f>Inversion_inicial34[[#This Row],[Inventario actual]]*D6</f>
        <v>11655</v>
      </c>
      <c r="E32"/>
      <c r="F32"/>
    </row>
    <row r="33" spans="1:6" x14ac:dyDescent="0.25">
      <c r="A33" t="s">
        <v>20</v>
      </c>
      <c r="B33" t="s">
        <v>19</v>
      </c>
      <c r="C33">
        <f t="shared" si="2"/>
        <v>45</v>
      </c>
      <c r="D33" s="9">
        <f>Inversion_inicial34[[#This Row],[Inventario actual]]*D7</f>
        <v>10800</v>
      </c>
      <c r="E33"/>
      <c r="F33"/>
    </row>
    <row r="34" spans="1:6" x14ac:dyDescent="0.25">
      <c r="A34" t="s">
        <v>43</v>
      </c>
      <c r="B34" t="s">
        <v>19</v>
      </c>
      <c r="C34">
        <f t="shared" si="2"/>
        <v>37</v>
      </c>
      <c r="D34" s="9">
        <f>Inversion_inicial34[[#This Row],[Inventario actual]]*D8</f>
        <v>4995</v>
      </c>
      <c r="E34"/>
      <c r="F34"/>
    </row>
    <row r="35" spans="1:6" x14ac:dyDescent="0.25">
      <c r="A35" t="s">
        <v>44</v>
      </c>
      <c r="B35" t="s">
        <v>22</v>
      </c>
      <c r="C35">
        <f t="shared" si="2"/>
        <v>23</v>
      </c>
      <c r="D35" s="9">
        <f>Inversion_inicial34[[#This Row],[Inventario actual]]*D9</f>
        <v>8510</v>
      </c>
      <c r="E35"/>
      <c r="F35"/>
    </row>
    <row r="36" spans="1:6" x14ac:dyDescent="0.25">
      <c r="C36" s="10" t="s">
        <v>45</v>
      </c>
      <c r="D36" s="12">
        <f>SUBTOTAL(109,D28:D35)</f>
        <v>49300</v>
      </c>
      <c r="E36"/>
      <c r="F36"/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>
      <selection activeCell="D11" sqref="D11"/>
    </sheetView>
  </sheetViews>
  <sheetFormatPr baseColWidth="10" defaultRowHeight="15" x14ac:dyDescent="0.25"/>
  <cols>
    <col min="2" max="2" width="16.5703125" bestFit="1" customWidth="1"/>
  </cols>
  <sheetData>
    <row r="1" spans="1:15" x14ac:dyDescent="0.25">
      <c r="A1" t="s">
        <v>23</v>
      </c>
      <c r="B1" t="s">
        <v>4</v>
      </c>
      <c r="C1" t="s">
        <v>2</v>
      </c>
      <c r="D1" t="s">
        <v>24</v>
      </c>
      <c r="E1" t="s">
        <v>15</v>
      </c>
      <c r="F1" t="s">
        <v>3</v>
      </c>
      <c r="G1" t="s">
        <v>16</v>
      </c>
      <c r="H1" t="s">
        <v>17</v>
      </c>
    </row>
    <row r="2" spans="1:15" x14ac:dyDescent="0.25">
      <c r="A2" s="1">
        <v>46106</v>
      </c>
      <c r="B2" t="s">
        <v>5</v>
      </c>
      <c r="C2">
        <v>800</v>
      </c>
      <c r="D2">
        <v>1</v>
      </c>
      <c r="E2">
        <f>C2*D2</f>
        <v>800</v>
      </c>
      <c r="F2" t="s">
        <v>9</v>
      </c>
    </row>
    <row r="3" spans="1:15" x14ac:dyDescent="0.25">
      <c r="A3" s="1">
        <v>46106</v>
      </c>
      <c r="B3" t="s">
        <v>18</v>
      </c>
      <c r="C3">
        <v>3000</v>
      </c>
      <c r="D3">
        <v>1</v>
      </c>
      <c r="E3">
        <v>2800</v>
      </c>
      <c r="F3" t="s">
        <v>11</v>
      </c>
      <c r="H3" t="s">
        <v>26</v>
      </c>
      <c r="K3" t="s">
        <v>37</v>
      </c>
      <c r="L3" t="s">
        <v>38</v>
      </c>
      <c r="M3" t="s">
        <v>39</v>
      </c>
      <c r="N3" t="s">
        <v>41</v>
      </c>
      <c r="O3" t="s">
        <v>42</v>
      </c>
    </row>
    <row r="4" spans="1:15" x14ac:dyDescent="0.25">
      <c r="A4" s="1">
        <v>46106</v>
      </c>
      <c r="B4" t="s">
        <v>30</v>
      </c>
      <c r="C4">
        <v>450</v>
      </c>
      <c r="D4">
        <v>1</v>
      </c>
      <c r="E4">
        <f>C4*D4</f>
        <v>450</v>
      </c>
      <c r="F4" t="s">
        <v>11</v>
      </c>
      <c r="K4">
        <f>SUMIF(F2:F37,"=CUP",E2:E37)</f>
        <v>7875</v>
      </c>
      <c r="L4">
        <f>SUMIF(F2:F38,"=CUPD",E2:E38)</f>
        <v>80</v>
      </c>
      <c r="M4">
        <f>SUM(K4:L4)</f>
        <v>7955</v>
      </c>
      <c r="N4">
        <f>M4-Inventario!F10</f>
        <v>-67800</v>
      </c>
    </row>
    <row r="5" spans="1:15" x14ac:dyDescent="0.25">
      <c r="H5" s="4" t="s">
        <v>40</v>
      </c>
      <c r="I5" s="4">
        <f>SUM(E2:E4)</f>
        <v>4050</v>
      </c>
    </row>
    <row r="6" spans="1:15" x14ac:dyDescent="0.25">
      <c r="A6" s="1">
        <v>46107</v>
      </c>
      <c r="B6" t="s">
        <v>5</v>
      </c>
      <c r="C6">
        <v>600</v>
      </c>
      <c r="D6">
        <v>2</v>
      </c>
      <c r="E6">
        <f t="shared" ref="E6:E37" si="0">C6*D6</f>
        <v>1200</v>
      </c>
      <c r="F6" t="s">
        <v>9</v>
      </c>
      <c r="H6" t="s">
        <v>31</v>
      </c>
      <c r="I6" t="s">
        <v>33</v>
      </c>
    </row>
    <row r="7" spans="1:15" x14ac:dyDescent="0.25">
      <c r="A7" s="1">
        <v>46107</v>
      </c>
      <c r="B7" t="s">
        <v>18</v>
      </c>
      <c r="C7">
        <v>3000</v>
      </c>
      <c r="D7">
        <v>1</v>
      </c>
      <c r="E7">
        <f t="shared" si="0"/>
        <v>3000</v>
      </c>
      <c r="F7" t="s">
        <v>9</v>
      </c>
      <c r="H7" t="s">
        <v>32</v>
      </c>
      <c r="I7" t="s">
        <v>33</v>
      </c>
    </row>
    <row r="8" spans="1:15" x14ac:dyDescent="0.25">
      <c r="A8" s="1">
        <v>46107</v>
      </c>
      <c r="B8" t="s">
        <v>5</v>
      </c>
      <c r="C8">
        <v>600</v>
      </c>
      <c r="D8">
        <v>1</v>
      </c>
      <c r="E8">
        <f t="shared" si="0"/>
        <v>600</v>
      </c>
      <c r="F8" t="s">
        <v>9</v>
      </c>
      <c r="H8" t="s">
        <v>35</v>
      </c>
      <c r="I8" t="s">
        <v>36</v>
      </c>
    </row>
    <row r="9" spans="1:15" x14ac:dyDescent="0.25">
      <c r="A9" s="1">
        <v>46107</v>
      </c>
      <c r="B9" t="s">
        <v>34</v>
      </c>
      <c r="C9">
        <v>300</v>
      </c>
      <c r="D9">
        <v>3</v>
      </c>
      <c r="E9">
        <f t="shared" si="0"/>
        <v>900</v>
      </c>
      <c r="F9" t="s">
        <v>9</v>
      </c>
      <c r="H9" t="s">
        <v>35</v>
      </c>
    </row>
    <row r="10" spans="1:15" x14ac:dyDescent="0.25">
      <c r="A10" s="1">
        <v>46107</v>
      </c>
      <c r="B10" t="s">
        <v>18</v>
      </c>
      <c r="C10">
        <v>3000</v>
      </c>
      <c r="D10">
        <v>1</v>
      </c>
      <c r="E10">
        <f t="shared" si="0"/>
        <v>3000</v>
      </c>
      <c r="F10" t="s">
        <v>11</v>
      </c>
    </row>
    <row r="11" spans="1:15" x14ac:dyDescent="0.25">
      <c r="A11" s="1">
        <v>46107</v>
      </c>
      <c r="B11" t="s">
        <v>30</v>
      </c>
      <c r="C11">
        <v>450</v>
      </c>
      <c r="D11">
        <v>1</v>
      </c>
      <c r="E11">
        <f t="shared" si="0"/>
        <v>450</v>
      </c>
      <c r="F11" t="s">
        <v>11</v>
      </c>
    </row>
    <row r="12" spans="1:15" x14ac:dyDescent="0.25">
      <c r="H12" s="4" t="s">
        <v>40</v>
      </c>
      <c r="I12" s="4">
        <f>SUM(E6:E11)</f>
        <v>9150</v>
      </c>
    </row>
    <row r="13" spans="1:15" x14ac:dyDescent="0.25">
      <c r="A13" s="1">
        <v>46108</v>
      </c>
      <c r="B13" t="s">
        <v>18</v>
      </c>
      <c r="C13">
        <v>3000</v>
      </c>
      <c r="D13">
        <v>1</v>
      </c>
      <c r="E13">
        <f t="shared" si="0"/>
        <v>3000</v>
      </c>
      <c r="F13" t="s">
        <v>9</v>
      </c>
      <c r="H13" t="s">
        <v>49</v>
      </c>
    </row>
    <row r="14" spans="1:15" x14ac:dyDescent="0.25">
      <c r="A14" s="1">
        <v>46108</v>
      </c>
      <c r="B14" t="s">
        <v>30</v>
      </c>
      <c r="C14">
        <v>450</v>
      </c>
      <c r="D14">
        <v>1</v>
      </c>
      <c r="E14">
        <f t="shared" si="0"/>
        <v>450</v>
      </c>
      <c r="F14" t="s">
        <v>11</v>
      </c>
      <c r="H14" t="s">
        <v>50</v>
      </c>
    </row>
    <row r="15" spans="1:15" x14ac:dyDescent="0.25">
      <c r="A15" s="1">
        <v>46108</v>
      </c>
      <c r="B15" t="s">
        <v>18</v>
      </c>
      <c r="C15">
        <v>3000</v>
      </c>
      <c r="D15">
        <v>1</v>
      </c>
      <c r="E15">
        <f t="shared" si="0"/>
        <v>3000</v>
      </c>
      <c r="F15" t="s">
        <v>11</v>
      </c>
      <c r="H15" t="s">
        <v>26</v>
      </c>
    </row>
    <row r="16" spans="1:15" x14ac:dyDescent="0.25">
      <c r="A16" s="1">
        <v>46108</v>
      </c>
      <c r="B16" t="s">
        <v>43</v>
      </c>
      <c r="C16">
        <v>-135</v>
      </c>
      <c r="D16">
        <v>39</v>
      </c>
      <c r="E16">
        <f t="shared" si="0"/>
        <v>-5265</v>
      </c>
      <c r="F16" t="s">
        <v>11</v>
      </c>
      <c r="H16" t="s">
        <v>46</v>
      </c>
    </row>
    <row r="17" spans="1:9" x14ac:dyDescent="0.25">
      <c r="A17" s="1">
        <v>46108</v>
      </c>
      <c r="B17" t="s">
        <v>44</v>
      </c>
      <c r="C17">
        <v>-370</v>
      </c>
      <c r="D17">
        <v>24</v>
      </c>
      <c r="E17">
        <f t="shared" si="0"/>
        <v>-8880</v>
      </c>
      <c r="F17" t="s">
        <v>11</v>
      </c>
      <c r="H17" t="s">
        <v>47</v>
      </c>
    </row>
    <row r="18" spans="1:9" x14ac:dyDescent="0.25">
      <c r="A18" s="1">
        <v>46108</v>
      </c>
      <c r="B18" t="s">
        <v>48</v>
      </c>
      <c r="C18">
        <v>10</v>
      </c>
      <c r="D18">
        <v>520</v>
      </c>
      <c r="E18">
        <f t="shared" si="0"/>
        <v>5200</v>
      </c>
      <c r="F18" t="s">
        <v>11</v>
      </c>
    </row>
    <row r="19" spans="1:9" x14ac:dyDescent="0.25">
      <c r="H19" s="4" t="s">
        <v>45</v>
      </c>
      <c r="I19" s="4">
        <f>SUM(E13:E18)</f>
        <v>-2495</v>
      </c>
    </row>
    <row r="20" spans="1:9" x14ac:dyDescent="0.25">
      <c r="A20" s="1">
        <v>46109</v>
      </c>
      <c r="B20" t="s">
        <v>30</v>
      </c>
      <c r="C20">
        <v>450</v>
      </c>
      <c r="D20">
        <v>2</v>
      </c>
      <c r="E20">
        <f t="shared" si="0"/>
        <v>900</v>
      </c>
      <c r="F20" t="s">
        <v>11</v>
      </c>
    </row>
    <row r="21" spans="1:9" x14ac:dyDescent="0.25">
      <c r="A21" s="1">
        <v>46201</v>
      </c>
      <c r="B21" t="s">
        <v>5</v>
      </c>
      <c r="C21">
        <v>550</v>
      </c>
      <c r="D21">
        <v>1</v>
      </c>
      <c r="E21">
        <f t="shared" si="0"/>
        <v>550</v>
      </c>
      <c r="F21" t="s">
        <v>11</v>
      </c>
    </row>
    <row r="22" spans="1:9" x14ac:dyDescent="0.25">
      <c r="A22" s="1">
        <v>46109</v>
      </c>
      <c r="B22" t="s">
        <v>51</v>
      </c>
      <c r="C22">
        <v>160</v>
      </c>
      <c r="D22">
        <v>2</v>
      </c>
      <c r="E22">
        <f t="shared" si="0"/>
        <v>320</v>
      </c>
      <c r="F22" t="s">
        <v>11</v>
      </c>
    </row>
    <row r="23" spans="1:9" x14ac:dyDescent="0.25">
      <c r="H23" s="7" t="s">
        <v>45</v>
      </c>
      <c r="I23" s="7">
        <f>SUM(E20:E22)</f>
        <v>1770</v>
      </c>
    </row>
    <row r="24" spans="1:9" x14ac:dyDescent="0.25">
      <c r="A24" s="1">
        <v>46110</v>
      </c>
      <c r="B24" t="s">
        <v>30</v>
      </c>
      <c r="C24">
        <v>450</v>
      </c>
      <c r="D24">
        <v>1</v>
      </c>
      <c r="E24">
        <f t="shared" si="0"/>
        <v>450</v>
      </c>
      <c r="F24" t="s">
        <v>11</v>
      </c>
    </row>
    <row r="25" spans="1:9" x14ac:dyDescent="0.25">
      <c r="A25" s="1">
        <v>46110</v>
      </c>
      <c r="B25" t="s">
        <v>5</v>
      </c>
      <c r="C25">
        <v>550</v>
      </c>
      <c r="D25">
        <v>1</v>
      </c>
      <c r="E25">
        <f t="shared" si="0"/>
        <v>550</v>
      </c>
      <c r="F25" t="s">
        <v>11</v>
      </c>
      <c r="G25" t="s">
        <v>25</v>
      </c>
      <c r="H25" t="s">
        <v>52</v>
      </c>
    </row>
    <row r="27" spans="1:9" x14ac:dyDescent="0.25">
      <c r="A27" s="1">
        <v>46111</v>
      </c>
      <c r="B27" t="s">
        <v>30</v>
      </c>
      <c r="C27">
        <v>450</v>
      </c>
      <c r="D27">
        <v>1</v>
      </c>
      <c r="E27">
        <f t="shared" si="0"/>
        <v>450</v>
      </c>
      <c r="F27" t="s">
        <v>11</v>
      </c>
    </row>
    <row r="28" spans="1:9" x14ac:dyDescent="0.25">
      <c r="A28" s="1">
        <v>46111</v>
      </c>
      <c r="B28" t="s">
        <v>30</v>
      </c>
      <c r="C28">
        <v>450</v>
      </c>
      <c r="D28">
        <v>1</v>
      </c>
      <c r="E28">
        <f t="shared" si="0"/>
        <v>450</v>
      </c>
      <c r="F28" t="s">
        <v>9</v>
      </c>
    </row>
    <row r="29" spans="1:9" x14ac:dyDescent="0.25">
      <c r="A29" s="1">
        <v>46111</v>
      </c>
      <c r="B29" t="s">
        <v>44</v>
      </c>
      <c r="C29">
        <v>450</v>
      </c>
      <c r="D29">
        <v>1</v>
      </c>
      <c r="E29">
        <f t="shared" si="0"/>
        <v>450</v>
      </c>
      <c r="F29" t="s">
        <v>9</v>
      </c>
    </row>
    <row r="30" spans="1:9" x14ac:dyDescent="0.25">
      <c r="A30" s="1">
        <v>46111</v>
      </c>
      <c r="B30" t="s">
        <v>5</v>
      </c>
      <c r="C30">
        <v>600</v>
      </c>
      <c r="D30">
        <v>2</v>
      </c>
      <c r="E30">
        <f t="shared" si="0"/>
        <v>1200</v>
      </c>
      <c r="F30" t="s">
        <v>11</v>
      </c>
    </row>
    <row r="31" spans="1:9" x14ac:dyDescent="0.25">
      <c r="A31" s="1">
        <v>46111</v>
      </c>
      <c r="B31" t="s">
        <v>5</v>
      </c>
      <c r="C31">
        <v>550</v>
      </c>
      <c r="D31">
        <v>2</v>
      </c>
      <c r="E31">
        <f t="shared" si="0"/>
        <v>1100</v>
      </c>
      <c r="F31" t="s">
        <v>9</v>
      </c>
    </row>
    <row r="32" spans="1:9" x14ac:dyDescent="0.25">
      <c r="H32" s="4" t="s">
        <v>45</v>
      </c>
      <c r="I32" s="4">
        <f>SUM(E27:E31)</f>
        <v>3650</v>
      </c>
    </row>
    <row r="33" spans="1:9" x14ac:dyDescent="0.25">
      <c r="A33" s="1">
        <v>46112</v>
      </c>
      <c r="B33" t="s">
        <v>5</v>
      </c>
      <c r="C33">
        <v>-500</v>
      </c>
      <c r="D33">
        <v>15</v>
      </c>
      <c r="E33">
        <f t="shared" si="0"/>
        <v>-7500</v>
      </c>
      <c r="F33" t="s">
        <v>9</v>
      </c>
    </row>
    <row r="34" spans="1:9" x14ac:dyDescent="0.25">
      <c r="A34" s="1">
        <v>46112</v>
      </c>
      <c r="B34" t="s">
        <v>56</v>
      </c>
      <c r="C34">
        <v>-500</v>
      </c>
      <c r="D34">
        <v>10</v>
      </c>
      <c r="E34">
        <f t="shared" si="0"/>
        <v>-5000</v>
      </c>
      <c r="F34" t="s">
        <v>9</v>
      </c>
    </row>
    <row r="35" spans="1:9" x14ac:dyDescent="0.25">
      <c r="A35" s="1">
        <v>46112</v>
      </c>
      <c r="B35" t="s">
        <v>30</v>
      </c>
      <c r="C35">
        <v>450</v>
      </c>
      <c r="D35">
        <v>5</v>
      </c>
      <c r="E35">
        <f t="shared" si="0"/>
        <v>2250</v>
      </c>
      <c r="F35" t="s">
        <v>11</v>
      </c>
    </row>
    <row r="36" spans="1:9" x14ac:dyDescent="0.25">
      <c r="A36" s="1">
        <v>46112</v>
      </c>
      <c r="B36" t="s">
        <v>43</v>
      </c>
      <c r="C36">
        <v>160</v>
      </c>
      <c r="D36">
        <v>3</v>
      </c>
      <c r="E36">
        <f t="shared" si="0"/>
        <v>480</v>
      </c>
      <c r="F36" t="s">
        <v>9</v>
      </c>
    </row>
    <row r="37" spans="1:9" x14ac:dyDescent="0.25">
      <c r="A37" s="1">
        <v>46112</v>
      </c>
      <c r="B37" t="s">
        <v>57</v>
      </c>
      <c r="C37">
        <v>300</v>
      </c>
      <c r="D37">
        <v>2</v>
      </c>
      <c r="E37">
        <f t="shared" si="0"/>
        <v>600</v>
      </c>
      <c r="F37" t="s">
        <v>9</v>
      </c>
    </row>
    <row r="38" spans="1:9" x14ac:dyDescent="0.25">
      <c r="H38" s="4" t="s">
        <v>45</v>
      </c>
      <c r="I38" s="4">
        <f>SUM(E33:E37)</f>
        <v>-9170</v>
      </c>
    </row>
  </sheetData>
  <conditionalFormatting sqref="N4">
    <cfRule type="cellIs" dxfId="2" priority="1" operator="greaterThan">
      <formula>0</formula>
    </cfRule>
    <cfRule type="cellIs" dxfId="1" priority="2" operator="less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resumen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Yordanis Martinez</dc:creator>
  <cp:lastModifiedBy>Yunior</cp:lastModifiedBy>
  <dcterms:created xsi:type="dcterms:W3CDTF">2026-03-25T17:21:36Z</dcterms:created>
  <dcterms:modified xsi:type="dcterms:W3CDTF">2026-04-01T16:03:27Z</dcterms:modified>
</cp:coreProperties>
</file>